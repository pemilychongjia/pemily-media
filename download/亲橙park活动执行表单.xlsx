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场物料单" sheetId="1" state="visible" r:id="rId1"/>
    <sheet xmlns:r="http://schemas.openxmlformats.org/officeDocument/2006/relationships" name="人员分工表" sheetId="2" state="visible" r:id="rId2"/>
    <sheet xmlns:r="http://schemas.openxmlformats.org/officeDocument/2006/relationships" name="人员工资表" sheetId="3" state="visible" r:id="rId3"/>
    <sheet xmlns:r="http://schemas.openxmlformats.org/officeDocument/2006/relationships" name="甲方活动确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5E20"/>
      <sz val="16"/>
    </font>
    <font>
      <name val="Microsoft YaHei"/>
      <color rgb="00666666"/>
      <sz val="10"/>
    </font>
    <font>
      <name val="Microsoft YaHei"/>
      <b val="1"/>
      <color rgb="00FFFFFF"/>
      <sz val="12"/>
    </font>
    <font>
      <name val="Microsoft YaHei"/>
      <sz val="11"/>
    </font>
    <font>
      <name val="Microsoft YaHei"/>
      <b val="1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8" customWidth="1" min="4" max="4"/>
    <col width="8" customWidth="1" min="5" max="5"/>
    <col width="15" customWidth="1" min="6" max="6"/>
    <col width="12" customWidth="1" min="7" max="7"/>
    <col width="10" customWidth="1" min="8" max="8"/>
  </cols>
  <sheetData>
    <row r="1">
      <c r="A1" s="1" t="inlineStr">
        <is>
          <t>亲橙park · 余杭好朋狗见面会 - 进场物料单</t>
        </is>
      </c>
    </row>
    <row r="2">
      <c r="A2" s="2" t="inlineStr">
        <is>
          <t>活动日期：2026-03-21 | 活动时间：17:00-20:30 | 地点：亲橙park户外广场</t>
        </is>
      </c>
    </row>
    <row r="4">
      <c r="A4" s="3" t="inlineStr">
        <is>
          <t>序号</t>
        </is>
      </c>
      <c r="B4" s="3" t="inlineStr">
        <is>
          <t>物料名称</t>
        </is>
      </c>
      <c r="C4" s="3" t="inlineStr">
        <is>
          <t>规格/内容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用途/位置</t>
        </is>
      </c>
      <c r="G4" s="3" t="inlineStr">
        <is>
          <t>负责人</t>
        </is>
      </c>
      <c r="H4" s="3" t="inlineStr">
        <is>
          <t>状态</t>
        </is>
      </c>
    </row>
    <row r="5">
      <c r="A5" s="4" t="n">
        <v>1</v>
      </c>
      <c r="B5" s="5" t="inlineStr">
        <is>
          <t>活动帐篷</t>
        </is>
      </c>
      <c r="C5" s="5" t="inlineStr">
        <is>
          <t>3m×3m</t>
        </is>
      </c>
      <c r="D5" s="4" t="n">
        <v>2</v>
      </c>
      <c r="E5" s="4" t="inlineStr">
        <is>
          <t>顶</t>
        </is>
      </c>
      <c r="F5" s="5" t="inlineStr">
        <is>
          <t>签到处/休息区</t>
        </is>
      </c>
      <c r="G5" s="5" t="inlineStr">
        <is>
          <t>项目负责人</t>
        </is>
      </c>
      <c r="H5" s="5" t="inlineStr">
        <is>
          <t>待出库</t>
        </is>
      </c>
    </row>
    <row r="6">
      <c r="A6" s="4" t="n">
        <v>2</v>
      </c>
      <c r="B6" s="5" t="inlineStr">
        <is>
          <t>拖拉音响</t>
        </is>
      </c>
      <c r="C6" s="5" t="inlineStr">
        <is>
          <t>便携式</t>
        </is>
      </c>
      <c r="D6" s="4" t="n">
        <v>1</v>
      </c>
      <c r="E6" s="4" t="inlineStr">
        <is>
          <t>套</t>
        </is>
      </c>
      <c r="F6" s="5" t="inlineStr">
        <is>
          <t>活动区域</t>
        </is>
      </c>
      <c r="G6" s="5" t="inlineStr">
        <is>
          <t>主持人</t>
        </is>
      </c>
      <c r="H6" s="5" t="inlineStr">
        <is>
          <t>待出库</t>
        </is>
      </c>
    </row>
    <row r="7">
      <c r="A7" s="4" t="n">
        <v>3</v>
      </c>
      <c r="B7" s="5" t="inlineStr">
        <is>
          <t>彩笔</t>
        </is>
      </c>
      <c r="C7" s="5" t="inlineStr">
        <is>
          <t>水性笔</t>
        </is>
      </c>
      <c r="D7" s="4" t="n">
        <v>2</v>
      </c>
      <c r="E7" s="4" t="inlineStr">
        <is>
          <t>支</t>
        </is>
      </c>
      <c r="F7" s="5" t="inlineStr">
        <is>
          <t>签到处</t>
        </is>
      </c>
      <c r="G7" s="5" t="inlineStr">
        <is>
          <t>执行人员</t>
        </is>
      </c>
      <c r="H7" s="5" t="inlineStr">
        <is>
          <t>待出库</t>
        </is>
      </c>
    </row>
    <row r="8">
      <c r="A8" s="4" t="n">
        <v>4</v>
      </c>
      <c r="B8" s="5" t="inlineStr">
        <is>
          <t>宠物饮水机</t>
        </is>
      </c>
      <c r="C8" s="5" t="inlineStr">
        <is>
          <t>大容量自动</t>
        </is>
      </c>
      <c r="D8" s="4" t="n">
        <v>3</v>
      </c>
      <c r="E8" s="4" t="inlineStr">
        <is>
          <t>台</t>
        </is>
      </c>
      <c r="F8" s="5" t="inlineStr">
        <is>
          <t>活动区域</t>
        </is>
      </c>
      <c r="G8" s="5" t="inlineStr">
        <is>
          <t>执行人员</t>
        </is>
      </c>
      <c r="H8" s="5" t="inlineStr">
        <is>
          <t>待出库</t>
        </is>
      </c>
    </row>
    <row r="9">
      <c r="A9" s="4" t="n">
        <v>5</v>
      </c>
      <c r="B9" s="5" t="inlineStr">
        <is>
          <t>宠物零食</t>
        </is>
      </c>
      <c r="C9" s="5" t="inlineStr">
        <is>
          <t>混合装</t>
        </is>
      </c>
      <c r="D9" s="4" t="n">
        <v>50</v>
      </c>
      <c r="E9" s="4" t="inlineStr">
        <is>
          <t>包</t>
        </is>
      </c>
      <c r="F9" s="5" t="inlineStr">
        <is>
          <t>活动区域</t>
        </is>
      </c>
      <c r="G9" s="5" t="inlineStr">
        <is>
          <t>执行人员</t>
        </is>
      </c>
      <c r="H9" s="5" t="inlineStr">
        <is>
          <t>待出库</t>
        </is>
      </c>
    </row>
    <row r="10">
      <c r="A10" s="4" t="n">
        <v>6</v>
      </c>
      <c r="B10" s="5" t="inlineStr">
        <is>
          <t>宠物玩具</t>
        </is>
      </c>
      <c r="C10" s="5" t="inlineStr">
        <is>
          <t>多款</t>
        </is>
      </c>
      <c r="D10" s="4" t="n">
        <v>30</v>
      </c>
      <c r="E10" s="4" t="inlineStr">
        <is>
          <t>件</t>
        </is>
      </c>
      <c r="F10" s="5" t="inlineStr">
        <is>
          <t>活动区域</t>
        </is>
      </c>
      <c r="G10" s="5" t="inlineStr">
        <is>
          <t>执行人员</t>
        </is>
      </c>
      <c r="H10" s="5" t="inlineStr">
        <is>
          <t>待出库</t>
        </is>
      </c>
    </row>
    <row r="11">
      <c r="A11" s="4" t="n">
        <v>7</v>
      </c>
      <c r="B11" s="5" t="inlineStr">
        <is>
          <t>活动背景板</t>
        </is>
      </c>
      <c r="C11" s="5" t="inlineStr">
        <is>
          <t>2m×4m</t>
        </is>
      </c>
      <c r="D11" s="4" t="n">
        <v>1</v>
      </c>
      <c r="E11" s="4" t="inlineStr">
        <is>
          <t>块</t>
        </is>
      </c>
      <c r="F11" s="5" t="inlineStr">
        <is>
          <t>主舞台</t>
        </is>
      </c>
      <c r="G11" s="5" t="inlineStr">
        <is>
          <t>项目负责人</t>
        </is>
      </c>
      <c r="H11" s="5" t="inlineStr">
        <is>
          <t>待出库</t>
        </is>
      </c>
    </row>
    <row r="12">
      <c r="A12" s="4" t="n">
        <v>8</v>
      </c>
      <c r="B12" s="5" t="inlineStr">
        <is>
          <t>障碍杠</t>
        </is>
      </c>
      <c r="C12" s="5" t="inlineStr">
        <is>
          <t>运动会道具</t>
        </is>
      </c>
      <c r="D12" s="4" t="n">
        <v>4</v>
      </c>
      <c r="E12" s="4" t="inlineStr">
        <is>
          <t>个</t>
        </is>
      </c>
      <c r="F12" s="5" t="inlineStr">
        <is>
          <t>运动会区域</t>
        </is>
      </c>
      <c r="G12" s="5" t="inlineStr">
        <is>
          <t>执行人员</t>
        </is>
      </c>
      <c r="H12" s="5" t="inlineStr">
        <is>
          <t>待出库</t>
        </is>
      </c>
    </row>
    <row r="13">
      <c r="A13" s="4" t="n">
        <v>9</v>
      </c>
      <c r="B13" s="5" t="inlineStr">
        <is>
          <t>跨栏</t>
        </is>
      </c>
      <c r="C13" s="5" t="inlineStr">
        <is>
          <t>运动会道具</t>
        </is>
      </c>
      <c r="D13" s="4" t="n">
        <v>4</v>
      </c>
      <c r="E13" s="4" t="inlineStr">
        <is>
          <t>个</t>
        </is>
      </c>
      <c r="F13" s="5" t="inlineStr">
        <is>
          <t>运动会区域</t>
        </is>
      </c>
      <c r="G13" s="5" t="inlineStr">
        <is>
          <t>执行人员</t>
        </is>
      </c>
      <c r="H13" s="5" t="inlineStr">
        <is>
          <t>待出库</t>
        </is>
      </c>
    </row>
    <row r="14">
      <c r="A14" s="4" t="n">
        <v>10</v>
      </c>
      <c r="B14" s="5" t="inlineStr">
        <is>
          <t>钻圈</t>
        </is>
      </c>
      <c r="C14" s="5" t="inlineStr">
        <is>
          <t>运动会道具</t>
        </is>
      </c>
      <c r="D14" s="4" t="n">
        <v>4</v>
      </c>
      <c r="E14" s="4" t="inlineStr">
        <is>
          <t>个</t>
        </is>
      </c>
      <c r="F14" s="5" t="inlineStr">
        <is>
          <t>运动会区域</t>
        </is>
      </c>
      <c r="G14" s="5" t="inlineStr">
        <is>
          <t>执行人员</t>
        </is>
      </c>
      <c r="H14" s="5" t="inlineStr">
        <is>
          <t>待出库</t>
        </is>
      </c>
    </row>
    <row r="15">
      <c r="A15" s="4" t="n">
        <v>11</v>
      </c>
      <c r="B15" s="5" t="inlineStr">
        <is>
          <t>运动会奖牌</t>
        </is>
      </c>
      <c r="C15" s="5" t="inlineStr">
        <is>
          <t>前三名</t>
        </is>
      </c>
      <c r="D15" s="4" t="n">
        <v>3</v>
      </c>
      <c r="E15" s="4" t="inlineStr">
        <is>
          <t>个</t>
        </is>
      </c>
      <c r="F15" s="5" t="inlineStr">
        <is>
          <t>运动会区域</t>
        </is>
      </c>
      <c r="G15" s="5" t="inlineStr">
        <is>
          <t>项目负责人</t>
        </is>
      </c>
      <c r="H15" s="5" t="inlineStr">
        <is>
          <t>待出库</t>
        </is>
      </c>
    </row>
    <row r="16">
      <c r="A16" s="4" t="n">
        <v>12</v>
      </c>
      <c r="B16" s="5" t="inlineStr">
        <is>
          <t>宠粮正装</t>
        </is>
      </c>
      <c r="C16" s="5" t="inlineStr">
        <is>
          <t>运动会奖品</t>
        </is>
      </c>
      <c r="D16" s="4" t="n">
        <v>3</v>
      </c>
      <c r="E16" s="4" t="inlineStr">
        <is>
          <t>份</t>
        </is>
      </c>
      <c r="F16" s="5" t="inlineStr">
        <is>
          <t>运动会区域</t>
        </is>
      </c>
      <c r="G16" s="5" t="inlineStr">
        <is>
          <t>项目负责人</t>
        </is>
      </c>
      <c r="H16" s="5" t="inlineStr">
        <is>
          <t>待出库</t>
        </is>
      </c>
    </row>
    <row r="17">
      <c r="A17" s="4" t="n">
        <v>13</v>
      </c>
      <c r="B17" s="5" t="inlineStr">
        <is>
          <t>定力赛互动礼品</t>
        </is>
      </c>
      <c r="C17" s="5" t="inlineStr">
        <is>
          <t>定力赛奖品</t>
        </is>
      </c>
      <c r="D17" s="4" t="n">
        <v>20</v>
      </c>
      <c r="E17" s="4" t="inlineStr">
        <is>
          <t>份</t>
        </is>
      </c>
      <c r="F17" s="5" t="inlineStr">
        <is>
          <t>定力赛区</t>
        </is>
      </c>
      <c r="G17" s="5" t="inlineStr">
        <is>
          <t>执行人员</t>
        </is>
      </c>
      <c r="H17" s="5" t="inlineStr">
        <is>
          <t>待出库</t>
        </is>
      </c>
    </row>
    <row r="18">
      <c r="A18" s="4" t="n">
        <v>14</v>
      </c>
      <c r="B18" s="5" t="inlineStr">
        <is>
          <t>伴手礼</t>
        </is>
      </c>
      <c r="C18" s="5" t="inlineStr">
        <is>
          <t>参与礼品</t>
        </is>
      </c>
      <c r="D18" s="4" t="n">
        <v>20</v>
      </c>
      <c r="E18" s="4" t="inlineStr">
        <is>
          <t>份</t>
        </is>
      </c>
      <c r="F18" s="5" t="inlineStr">
        <is>
          <t>签到处</t>
        </is>
      </c>
      <c r="G18" s="5" t="inlineStr">
        <is>
          <t>执行人员</t>
        </is>
      </c>
      <c r="H18" s="5" t="inlineStr">
        <is>
          <t>待出库</t>
        </is>
      </c>
    </row>
    <row r="19">
      <c r="A19" s="4" t="n">
        <v>15</v>
      </c>
      <c r="B19" s="5" t="inlineStr">
        <is>
          <t>辅助材料</t>
        </is>
      </c>
      <c r="C19" s="5" t="inlineStr">
        <is>
          <t>拾便袋、除味剂</t>
        </is>
      </c>
      <c r="D19" s="4" t="n">
        <v>1</v>
      </c>
      <c r="E19" s="4" t="inlineStr">
        <is>
          <t>套</t>
        </is>
      </c>
      <c r="F19" s="5" t="inlineStr">
        <is>
          <t>服务台</t>
        </is>
      </c>
      <c r="G19" s="5" t="inlineStr">
        <is>
          <t>执行人员</t>
        </is>
      </c>
      <c r="H19" s="5" t="inlineStr">
        <is>
          <t>待出库</t>
        </is>
      </c>
    </row>
    <row r="20">
      <c r="A20" s="4" t="n">
        <v>16</v>
      </c>
      <c r="B20" s="5" t="inlineStr">
        <is>
          <t>急救箱</t>
        </is>
      </c>
      <c r="C20" s="5" t="inlineStr">
        <is>
          <t>宠物专用</t>
        </is>
      </c>
      <c r="D20" s="4" t="n">
        <v>1</v>
      </c>
      <c r="E20" s="4" t="inlineStr">
        <is>
          <t>套</t>
        </is>
      </c>
      <c r="F20" s="5" t="inlineStr">
        <is>
          <t>服务台</t>
        </is>
      </c>
      <c r="G20" s="5" t="inlineStr">
        <is>
          <t>项目负责人</t>
        </is>
      </c>
      <c r="H20" s="5" t="inlineStr">
        <is>
          <t>待出库</t>
        </is>
      </c>
    </row>
    <row r="21">
      <c r="A21" s="4" t="n">
        <v>17</v>
      </c>
      <c r="B21" s="5" t="inlineStr">
        <is>
          <t>工作证</t>
        </is>
      </c>
      <c r="C21" s="5" t="inlineStr">
        <is>
          <t>员工证件</t>
        </is>
      </c>
      <c r="D21" s="4" t="n">
        <v>4</v>
      </c>
      <c r="E21" s="4" t="inlineStr">
        <is>
          <t>张</t>
        </is>
      </c>
      <c r="F21" s="5" t="inlineStr">
        <is>
          <t>签到处</t>
        </is>
      </c>
      <c r="G21" s="5" t="inlineStr">
        <is>
          <t>项目负责人</t>
        </is>
      </c>
      <c r="H21" s="5" t="inlineStr">
        <is>
          <t>待出库</t>
        </is>
      </c>
    </row>
    <row r="22">
      <c r="A22" s="4" t="n">
        <v>18</v>
      </c>
      <c r="B22" s="5" t="inlineStr">
        <is>
          <t>指示牌</t>
        </is>
      </c>
      <c r="C22" s="5" t="inlineStr">
        <is>
          <t>活动指引</t>
        </is>
      </c>
      <c r="D22" s="4" t="n">
        <v>5</v>
      </c>
      <c r="E22" s="4" t="inlineStr">
        <is>
          <t>块</t>
        </is>
      </c>
      <c r="F22" s="5" t="inlineStr">
        <is>
          <t>各区域</t>
        </is>
      </c>
      <c r="G22" s="5" t="inlineStr">
        <is>
          <t>执行人员</t>
        </is>
      </c>
      <c r="H22" s="5" t="inlineStr">
        <is>
          <t>待出库</t>
        </is>
      </c>
    </row>
    <row r="23">
      <c r="A23" s="4" t="n">
        <v>19</v>
      </c>
      <c r="B23" s="5" t="inlineStr">
        <is>
          <t>桌椅</t>
        </is>
      </c>
      <c r="C23" s="5" t="inlineStr">
        <is>
          <t>折叠桌椅</t>
        </is>
      </c>
      <c r="D23" s="4" t="n">
        <v>6</v>
      </c>
      <c r="E23" s="4" t="inlineStr">
        <is>
          <t>套</t>
        </is>
      </c>
      <c r="F23" s="5" t="inlineStr">
        <is>
          <t>签到处/休息区</t>
        </is>
      </c>
      <c r="G23" s="5" t="inlineStr">
        <is>
          <t>执行人员</t>
        </is>
      </c>
      <c r="H23" s="5" t="inlineStr">
        <is>
          <t>待出库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35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亲橙park · 余杭好朋狗见面会 - 人员分工表</t>
        </is>
      </c>
    </row>
    <row r="2">
      <c r="A2" s="2" t="inlineStr">
        <is>
          <t>【人员配置规则】每日宠物数≤50只：4人配置（1主持人+3执行，含1项目负责人）| 活动时间：17:00-20:30，需提前1小时到岗</t>
        </is>
      </c>
    </row>
    <row r="4">
      <c r="A4" s="3" t="inlineStr">
        <is>
          <t>序号</t>
        </is>
      </c>
      <c r="B4" s="3" t="inlineStr">
        <is>
          <t>姓名</t>
        </is>
      </c>
      <c r="C4" s="3" t="inlineStr">
        <is>
          <t>岗位</t>
        </is>
      </c>
      <c r="D4" s="3" t="inlineStr">
        <is>
          <t>人员类型</t>
        </is>
      </c>
      <c r="E4" s="3" t="inlineStr">
        <is>
          <t>职责描述</t>
        </is>
      </c>
      <c r="F4" s="3" t="inlineStr">
        <is>
          <t>工作时间</t>
        </is>
      </c>
      <c r="G4" s="3" t="inlineStr">
        <is>
          <t>联系电话</t>
        </is>
      </c>
      <c r="H4" s="3" t="inlineStr">
        <is>
          <t>签到状态</t>
        </is>
      </c>
    </row>
    <row r="5">
      <c r="A5" s="4" t="n">
        <v>1</v>
      </c>
      <c r="B5" s="5" t="inlineStr">
        <is>
          <t>张明</t>
        </is>
      </c>
      <c r="C5" s="5" t="inlineStr">
        <is>
          <t>项目负责人</t>
        </is>
      </c>
      <c r="D5" s="5" t="inlineStr">
        <is>
          <t>我司派驻</t>
        </is>
      </c>
      <c r="E5" s="5" t="inlineStr">
        <is>
          <t>统筹协调全场活动、对接甲方、负责运动会/定力赛组织</t>
        </is>
      </c>
      <c r="F5" s="4" t="inlineStr">
        <is>
          <t>16:00-21:00</t>
        </is>
      </c>
      <c r="G5" s="5" t="inlineStr">
        <is>
          <t>138****8001</t>
        </is>
      </c>
      <c r="H5" s="5" t="inlineStr">
        <is>
          <t>待签到</t>
        </is>
      </c>
    </row>
    <row r="6">
      <c r="A6" s="4" t="n">
        <v>2</v>
      </c>
      <c r="B6" s="5" t="inlineStr">
        <is>
          <t>李华</t>
        </is>
      </c>
      <c r="C6" s="5" t="inlineStr">
        <is>
          <t>主持人</t>
        </is>
      </c>
      <c r="D6" s="5" t="inlineStr">
        <is>
          <t>兼职</t>
        </is>
      </c>
      <c r="E6" s="5" t="inlineStr">
        <is>
          <t>活动流程主持、运动会解说、颁奖主持</t>
        </is>
      </c>
      <c r="F6" s="4" t="inlineStr">
        <is>
          <t>16:00-20:30</t>
        </is>
      </c>
      <c r="G6" s="5" t="inlineStr">
        <is>
          <t>138****8002</t>
        </is>
      </c>
      <c r="H6" s="5" t="inlineStr">
        <is>
          <t>待签到</t>
        </is>
      </c>
    </row>
    <row r="7">
      <c r="A7" s="4" t="n">
        <v>3</v>
      </c>
      <c r="B7" s="5" t="inlineStr">
        <is>
          <t>王芳</t>
        </is>
      </c>
      <c r="C7" s="5" t="inlineStr">
        <is>
          <t>执行人员</t>
        </is>
      </c>
      <c r="D7" s="5" t="inlineStr">
        <is>
          <t>兼职</t>
        </is>
      </c>
      <c r="E7" s="5" t="inlineStr">
        <is>
          <t>宠物运动会道具管理、计分、秩序维护</t>
        </is>
      </c>
      <c r="F7" s="4" t="inlineStr">
        <is>
          <t>16:00-21:00</t>
        </is>
      </c>
      <c r="G7" s="5" t="inlineStr">
        <is>
          <t>138****8003</t>
        </is>
      </c>
      <c r="H7" s="5" t="inlineStr">
        <is>
          <t>待签到</t>
        </is>
      </c>
    </row>
    <row r="8">
      <c r="A8" s="4" t="n">
        <v>4</v>
      </c>
      <c r="B8" s="5" t="inlineStr">
        <is>
          <t>刘强</t>
        </is>
      </c>
      <c r="C8" s="5" t="inlineStr">
        <is>
          <t>执行人员</t>
        </is>
      </c>
      <c r="D8" s="5" t="inlineStr">
        <is>
          <t>兼职</t>
        </is>
      </c>
      <c r="E8" s="5" t="inlineStr">
        <is>
          <t>宠物定力赛组织、宠物照看、现场协调</t>
        </is>
      </c>
      <c r="F8" s="4" t="inlineStr">
        <is>
          <t>16:00-21:00</t>
        </is>
      </c>
      <c r="G8" s="5" t="inlineStr">
        <is>
          <t>138****8004</t>
        </is>
      </c>
      <c r="H8" s="5" t="inlineStr">
        <is>
          <t>待签到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25" customWidth="1" min="12" max="12"/>
  </cols>
  <sheetData>
    <row r="1">
      <c r="A1" s="1" t="inlineStr">
        <is>
          <t>亲橙park · 余杭好朋狗见面会 - 人员工资表</t>
        </is>
      </c>
    </row>
    <row r="2">
      <c r="A2" s="2" t="inlineStr">
        <is>
          <t>【工资规则】项目负责人=活动总价×10%=5373.2×10%=537.32元 | 兼职=28元/小时×4.5小时=126元</t>
        </is>
      </c>
    </row>
    <row r="4">
      <c r="A4" s="3" t="inlineStr">
        <is>
          <t>序号</t>
        </is>
      </c>
      <c r="B4" s="3" t="inlineStr">
        <is>
          <t>姓名</t>
        </is>
      </c>
      <c r="C4" s="3" t="inlineStr">
        <is>
          <t>岗位</t>
        </is>
      </c>
      <c r="D4" s="3" t="inlineStr">
        <is>
          <t>人员类型</t>
        </is>
      </c>
      <c r="E4" s="3" t="inlineStr">
        <is>
          <t>计薪方式</t>
        </is>
      </c>
      <c r="F4" s="3" t="inlineStr">
        <is>
          <t>工时(小时)</t>
        </is>
      </c>
      <c r="G4" s="3" t="inlineStr">
        <is>
          <t>时薪(元)</t>
        </is>
      </c>
      <c r="H4" s="3" t="inlineStr">
        <is>
          <t>基本工资</t>
        </is>
      </c>
      <c r="I4" s="3" t="inlineStr">
        <is>
          <t>奖金</t>
        </is>
      </c>
      <c r="J4" s="3" t="inlineStr">
        <is>
          <t>扣款</t>
        </is>
      </c>
      <c r="K4" s="3" t="inlineStr">
        <is>
          <t>实发工资</t>
        </is>
      </c>
      <c r="L4" s="3" t="inlineStr">
        <is>
          <t>备注</t>
        </is>
      </c>
    </row>
    <row r="5">
      <c r="A5" s="4" t="n">
        <v>1</v>
      </c>
      <c r="B5" s="5" t="inlineStr">
        <is>
          <t>张明</t>
        </is>
      </c>
      <c r="C5" s="5" t="inlineStr">
        <is>
          <t>项目负责人</t>
        </is>
      </c>
      <c r="D5" s="5" t="inlineStr">
        <is>
          <t>我司派驻</t>
        </is>
      </c>
      <c r="E5" s="5" t="inlineStr">
        <is>
          <t>活动总价×10%</t>
        </is>
      </c>
      <c r="F5" s="4" t="inlineStr">
        <is>
          <t>-</t>
        </is>
      </c>
      <c r="G5" s="4" t="inlineStr">
        <is>
          <t>-</t>
        </is>
      </c>
      <c r="H5" s="4">
        <f>5373.2*0.1</f>
        <v/>
      </c>
      <c r="I5" s="4" t="n">
        <v>0</v>
      </c>
      <c r="J5" s="4" t="n">
        <v>0</v>
      </c>
      <c r="K5" s="4">
        <f>H5+I5-J5</f>
        <v/>
      </c>
      <c r="L5" s="5" t="inlineStr">
        <is>
          <t>活动总价5373.2元</t>
        </is>
      </c>
    </row>
    <row r="6">
      <c r="A6" s="4" t="n">
        <v>2</v>
      </c>
      <c r="B6" s="5" t="inlineStr">
        <is>
          <t>李华</t>
        </is>
      </c>
      <c r="C6" s="5" t="inlineStr">
        <is>
          <t>主持人</t>
        </is>
      </c>
      <c r="D6" s="5" t="inlineStr">
        <is>
          <t>兼职</t>
        </is>
      </c>
      <c r="E6" s="5" t="inlineStr">
        <is>
          <t>时薪×工时</t>
        </is>
      </c>
      <c r="F6" s="4" t="n">
        <v>4.5</v>
      </c>
      <c r="G6" s="4" t="n">
        <v>28</v>
      </c>
      <c r="H6" s="4">
        <f>F6*G6</f>
        <v/>
      </c>
      <c r="I6" s="4" t="n">
        <v>0</v>
      </c>
      <c r="J6" s="4" t="n">
        <v>0</v>
      </c>
      <c r="K6" s="4">
        <f>H6+I6-J6</f>
        <v/>
      </c>
      <c r="L6" s="5" t="inlineStr">
        <is>
          <t>活动17:00开始，16:00到岗</t>
        </is>
      </c>
    </row>
    <row r="7">
      <c r="A7" s="4" t="n">
        <v>3</v>
      </c>
      <c r="B7" s="5" t="inlineStr">
        <is>
          <t>王芳</t>
        </is>
      </c>
      <c r="C7" s="5" t="inlineStr">
        <is>
          <t>执行人员</t>
        </is>
      </c>
      <c r="D7" s="5" t="inlineStr">
        <is>
          <t>兼职</t>
        </is>
      </c>
      <c r="E7" s="5" t="inlineStr">
        <is>
          <t>时薪×工时</t>
        </is>
      </c>
      <c r="F7" s="4" t="n">
        <v>4.5</v>
      </c>
      <c r="G7" s="4" t="n">
        <v>28</v>
      </c>
      <c r="H7" s="4">
        <f>F7*G7</f>
        <v/>
      </c>
      <c r="I7" s="4" t="n">
        <v>0</v>
      </c>
      <c r="J7" s="4" t="n">
        <v>0</v>
      </c>
      <c r="K7" s="4">
        <f>H7+I7-J7</f>
        <v/>
      </c>
      <c r="L7" s="5" t="inlineStr">
        <is>
          <t>活动17:00开始，16:00到岗</t>
        </is>
      </c>
    </row>
    <row r="8">
      <c r="A8" s="4" t="n">
        <v>4</v>
      </c>
      <c r="B8" s="5" t="inlineStr">
        <is>
          <t>刘强</t>
        </is>
      </c>
      <c r="C8" s="5" t="inlineStr">
        <is>
          <t>执行人员</t>
        </is>
      </c>
      <c r="D8" s="5" t="inlineStr">
        <is>
          <t>兼职</t>
        </is>
      </c>
      <c r="E8" s="5" t="inlineStr">
        <is>
          <t>时薪×工时</t>
        </is>
      </c>
      <c r="F8" s="4" t="n">
        <v>4.5</v>
      </c>
      <c r="G8" s="4" t="n">
        <v>28</v>
      </c>
      <c r="H8" s="4">
        <f>F8*G8</f>
        <v/>
      </c>
      <c r="I8" s="4" t="n">
        <v>0</v>
      </c>
      <c r="J8" s="4" t="n">
        <v>0</v>
      </c>
      <c r="K8" s="4">
        <f>H8+I8-J8</f>
        <v/>
      </c>
      <c r="L8" s="5" t="inlineStr">
        <is>
          <t>活动17:00开始，16:00到岗</t>
        </is>
      </c>
    </row>
    <row r="9">
      <c r="A9" s="6" t="inlineStr">
        <is>
          <t>合计</t>
        </is>
      </c>
      <c r="B9" s="7" t="n"/>
      <c r="C9" s="7" t="n"/>
      <c r="D9" s="7" t="n"/>
      <c r="E9" s="7" t="n"/>
      <c r="F9" s="7" t="n"/>
      <c r="G9" s="7" t="n"/>
      <c r="H9" s="6">
        <f>SUM(H5:H8)</f>
        <v/>
      </c>
      <c r="I9" s="7" t="n"/>
      <c r="J9" s="7" t="n"/>
      <c r="K9" s="6">
        <f>SUM(K5:K8)</f>
        <v/>
      </c>
      <c r="L9" s="7" t="n"/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12" customWidth="1" min="4" max="4"/>
  </cols>
  <sheetData>
    <row r="1">
      <c r="A1" s="1" t="inlineStr">
        <is>
          <t>亲橙park · 余杭好朋狗见面会 - 甲方活动确认单</t>
        </is>
      </c>
    </row>
    <row r="3">
      <c r="A3" s="3" t="inlineStr">
        <is>
          <t>序号</t>
        </is>
      </c>
      <c r="B3" s="3" t="inlineStr">
        <is>
          <t>活动类别</t>
        </is>
      </c>
      <c r="C3" s="3" t="inlineStr">
        <is>
          <t>活动名称</t>
        </is>
      </c>
      <c r="D3" s="3" t="inlineStr">
        <is>
          <t>甲方选择</t>
        </is>
      </c>
    </row>
    <row r="4">
      <c r="A4" s="4" t="n">
        <v>1</v>
      </c>
      <c r="B4" s="5" t="inlineStr">
        <is>
          <t>活动类</t>
        </is>
      </c>
      <c r="C4" s="5" t="inlineStr">
        <is>
          <t>宠物义诊</t>
        </is>
      </c>
      <c r="D4" s="4" t="inlineStr">
        <is>
          <t>❌ 未选择</t>
        </is>
      </c>
    </row>
    <row r="5">
      <c r="A5" s="4" t="n">
        <v>2</v>
      </c>
      <c r="B5" s="5" t="inlineStr">
        <is>
          <t>活动类</t>
        </is>
      </c>
      <c r="C5" s="5" t="inlineStr">
        <is>
          <t>宠物祈福</t>
        </is>
      </c>
      <c r="D5" s="4" t="inlineStr">
        <is>
          <t>❌ 未选择</t>
        </is>
      </c>
    </row>
    <row r="6">
      <c r="A6" s="4" t="n">
        <v>3</v>
      </c>
      <c r="B6" s="5" t="inlineStr">
        <is>
          <t>活动类</t>
        </is>
      </c>
      <c r="C6" s="5" t="inlineStr">
        <is>
          <t>宠物doga</t>
        </is>
      </c>
      <c r="D6" s="4" t="inlineStr">
        <is>
          <t>❌ 未选择</t>
        </is>
      </c>
    </row>
    <row r="7">
      <c r="A7" s="4" t="n">
        <v>4</v>
      </c>
      <c r="B7" s="5" t="inlineStr">
        <is>
          <t>活动类</t>
        </is>
      </c>
      <c r="C7" s="5" t="inlineStr">
        <is>
          <t>萌宠相亲角</t>
        </is>
      </c>
      <c r="D7" s="4" t="inlineStr">
        <is>
          <t>❌ 未选择</t>
        </is>
      </c>
    </row>
    <row r="8">
      <c r="A8" s="4" t="n">
        <v>5</v>
      </c>
      <c r="B8" s="5" t="inlineStr">
        <is>
          <t>活动类</t>
        </is>
      </c>
      <c r="C8" s="5" t="inlineStr">
        <is>
          <t>毛茸茸照相馆</t>
        </is>
      </c>
      <c r="D8" s="4" t="inlineStr">
        <is>
          <t>❌ 未选择</t>
        </is>
      </c>
    </row>
    <row r="9">
      <c r="A9" s="8" t="n">
        <v>6</v>
      </c>
      <c r="B9" s="9" t="inlineStr">
        <is>
          <t>活动类</t>
        </is>
      </c>
      <c r="C9" s="9" t="inlineStr">
        <is>
          <t>宠物运动会</t>
        </is>
      </c>
      <c r="D9" s="8" t="inlineStr">
        <is>
          <t>✅ 已选择</t>
        </is>
      </c>
    </row>
    <row r="10">
      <c r="A10" s="8" t="n">
        <v>7</v>
      </c>
      <c r="B10" s="9" t="inlineStr">
        <is>
          <t>活动类</t>
        </is>
      </c>
      <c r="C10" s="9" t="inlineStr">
        <is>
          <t>宠物定力赛</t>
        </is>
      </c>
      <c r="D10" s="8" t="inlineStr">
        <is>
          <t>✅ 已选择</t>
        </is>
      </c>
    </row>
    <row r="11">
      <c r="A11" s="4" t="n">
        <v>8</v>
      </c>
      <c r="B11" s="5" t="inlineStr">
        <is>
          <t>活动类</t>
        </is>
      </c>
      <c r="C11" s="5" t="inlineStr">
        <is>
          <t>3m狗狗气模</t>
        </is>
      </c>
      <c r="D11" s="4" t="inlineStr">
        <is>
          <t>❌ 未选择</t>
        </is>
      </c>
    </row>
    <row r="12">
      <c r="A12" s="4" t="n">
        <v>9</v>
      </c>
      <c r="B12" s="5" t="inlineStr">
        <is>
          <t>活动类</t>
        </is>
      </c>
      <c r="C12" s="5" t="inlineStr">
        <is>
          <t>6m狗袋气模</t>
        </is>
      </c>
      <c r="D12" s="4" t="inlineStr">
        <is>
          <t>❌ 未选择</t>
        </is>
      </c>
    </row>
    <row r="13">
      <c r="A13" s="4" t="n">
        <v>10</v>
      </c>
      <c r="B13" s="5" t="inlineStr">
        <is>
          <t>活动类</t>
        </is>
      </c>
      <c r="C13" s="5" t="inlineStr">
        <is>
          <t>萌宠时装周</t>
        </is>
      </c>
      <c r="D13" s="4" t="inlineStr">
        <is>
          <t>❌ 未选择</t>
        </is>
      </c>
    </row>
    <row r="14">
      <c r="A14" s="4" t="n">
        <v>11</v>
      </c>
      <c r="B14" s="5" t="inlineStr">
        <is>
          <t>活动类</t>
        </is>
      </c>
      <c r="C14" s="5" t="inlineStr">
        <is>
          <t>亲子摄影</t>
        </is>
      </c>
      <c r="D14" s="4" t="inlineStr">
        <is>
          <t>❌ 未选择</t>
        </is>
      </c>
    </row>
    <row r="15">
      <c r="A15" s="4" t="n">
        <v>12</v>
      </c>
      <c r="B15" s="5" t="inlineStr">
        <is>
          <t>活动类</t>
        </is>
      </c>
      <c r="C15" s="5" t="inlineStr">
        <is>
          <t>萌宠领养</t>
        </is>
      </c>
      <c r="D15" s="4" t="inlineStr">
        <is>
          <t>❌ 未选择</t>
        </is>
      </c>
    </row>
    <row r="16">
      <c r="A16" s="4" t="n">
        <v>13</v>
      </c>
      <c r="B16" s="5" t="inlineStr">
        <is>
          <t>活动类</t>
        </is>
      </c>
      <c r="C16" s="5" t="inlineStr">
        <is>
          <t>萌宠下午茶</t>
        </is>
      </c>
      <c r="D16" s="4" t="inlineStr">
        <is>
          <t>❌ 未选择</t>
        </is>
      </c>
    </row>
    <row r="17">
      <c r="A17" s="4" t="n">
        <v>14</v>
      </c>
      <c r="B17" s="5" t="inlineStr">
        <is>
          <t>活动类</t>
        </is>
      </c>
      <c r="C17" s="5" t="inlineStr">
        <is>
          <t>萌宠DIY</t>
        </is>
      </c>
      <c r="D17" s="4" t="inlineStr">
        <is>
          <t>❌ 未选择</t>
        </is>
      </c>
    </row>
    <row r="18">
      <c r="A18" s="4" t="n">
        <v>15</v>
      </c>
      <c r="B18" s="5" t="inlineStr">
        <is>
          <t>活动类</t>
        </is>
      </c>
      <c r="C18" s="5" t="inlineStr">
        <is>
          <t>萌宠泳池派对</t>
        </is>
      </c>
      <c r="D18" s="4" t="inlineStr">
        <is>
          <t>❌ 未选择</t>
        </is>
      </c>
    </row>
    <row r="19">
      <c r="A19" s="4" t="n">
        <v>16</v>
      </c>
      <c r="B19" s="5" t="inlineStr">
        <is>
          <t>活动类</t>
        </is>
      </c>
      <c r="C19" s="5" t="inlineStr">
        <is>
          <t>萌宠簪花</t>
        </is>
      </c>
      <c r="D19" s="4" t="inlineStr">
        <is>
          <t>❌ 未选择</t>
        </is>
      </c>
    </row>
    <row r="20">
      <c r="A20" s="4" t="n">
        <v>17</v>
      </c>
      <c r="B20" s="5" t="inlineStr">
        <is>
          <t>活动类</t>
        </is>
      </c>
      <c r="C20" s="5" t="inlineStr">
        <is>
          <t>萌宠项链DIY</t>
        </is>
      </c>
      <c r="D20" s="4" t="inlineStr">
        <is>
          <t>❌ 未选择</t>
        </is>
      </c>
    </row>
    <row r="21">
      <c r="A21" s="4" t="n">
        <v>18</v>
      </c>
      <c r="B21" s="5" t="inlineStr">
        <is>
          <t>活动类</t>
        </is>
      </c>
      <c r="C21" s="5" t="inlineStr">
        <is>
          <t>萌宠拔河</t>
        </is>
      </c>
      <c r="D21" s="4" t="inlineStr">
        <is>
          <t>❌ 未选择</t>
        </is>
      </c>
    </row>
    <row r="22">
      <c r="A22" s="4" t="n">
        <v>19</v>
      </c>
      <c r="B22" s="5" t="inlineStr">
        <is>
          <t>活动类</t>
        </is>
      </c>
      <c r="C22" s="5" t="inlineStr">
        <is>
          <t>萌宠骑行</t>
        </is>
      </c>
      <c r="D22" s="4" t="inlineStr">
        <is>
          <t>❌ 未选择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2026-03-06T17:24:31Z</dcterms:created>
  <dcterms:modified xmlns:dcterms="http://purl.org/dc/terms/" xmlns:xsi="http://www.w3.org/2001/XMLSchema-instance" xsi:type="dcterms:W3CDTF">2026-03-06T17:24:31Z</dcterms:modified>
</cp:coreProperties>
</file>