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报价明细表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<sst xmlns="http://schemas.openxmlformats.org/spreadsheetml/2006/main" count="57" uniqueCount="44">
  <si>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宠物活动报价明细表</t>
  </si>
  <si>
    <t>一、基础费用</t>
  </si>
  <si>
    <t>序号</t>
  </si>
  <si>
    <t>项目</t>
  </si>
  <si>
    <t>规格/内容</t>
  </si>
  <si>
    <t>单位</t>
  </si>
  <si>
    <t>数量</t>
  </si>
  <si>
    <t>单价</t>
  </si>
  <si>
    <t>天数</t>
  </si>
  <si>
    <t>合计</t>
  </si>
  <si>
    <t>备注</t>
  </si>
  <si>
    <t>拖拉音响</t>
  </si>
  <si>
    <t>音响</t>
  </si>
  <si>
    <t>个</t>
  </si>
  <si>
    <t>辅助材料</t>
  </si>
  <si>
    <t>拾便袋 除味剂</t>
  </si>
  <si>
    <t>套</t>
  </si>
  <si>
    <t>彩笔</t>
  </si>
  <si>
    <t>支</t>
  </si>
  <si>
    <t>物料运输</t>
  </si>
  <si>
    <t>车</t>
  </si>
  <si>
    <t>搭建工人</t>
  </si>
  <si>
    <t>人</t>
  </si>
  <si>
    <t>活动执行</t>
  </si>
  <si>
    <t>现场执行人员</t>
  </si>
  <si>
    <t>伴手礼</t>
  </si>
  <si>
    <t>参与礼品</t>
  </si>
  <si>
    <t>份</t>
  </si>
  <si>
    <t>主持人</t>
  </si>
  <si>
    <t>活动主持人，3年宠物活动主持经验</t>
  </si>
  <si>
    <t>二、活动内容</t>
  </si>
  <si>
    <t>宠物运动会</t>
  </si>
  <si>
    <t>障碍杠*4，跨栏*4.钻圈*4</t>
  </si>
  <si>
    <t>项</t>
  </si>
  <si>
    <t>运动会-宠粮正装</t>
  </si>
  <si>
    <t>运动会-奖牌包边</t>
  </si>
  <si>
    <t>宠物定力赛</t>
  </si>
  <si>
    <t>定力赛-互动礼品</t>
  </si>
  <si>
    <t>三、费用汇总</t>
  </si>
  <si>
    <t>基础费用小计：</t>
  </si>
  <si>
    <t>增值服务小计：</t>
  </si>
  <si>
    <t>税费（1%）：</t>
  </si>
  <si>
    <t>总计：</t>
  </si>
  <si>
    <t>报价日期：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</si>
</sst>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宋体"/>
      <charset val="134"/>
    </font>
    <font>
      <b/>
      <sz val="14"/>
      <color rgb="FFFFFFFF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000000"/>
      <name val="宋体"/>
      <charset val="134"/>
    </font>
    <font>
      <b/>
      <sz val="9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zoomScale="80" zoomScaleNormal="80" workbookViewId="0">
      <selection activeCell="C30" sqref="C30"/>
    </sheetView>
  </sheetViews>
  <sheetFormatPr defaultColWidth="11" defaultRowHeight="14"/>
  <cols>
    <col min="1" max="1" width="13.1272727272727" customWidth="1"/>
    <col min="2" max="2" width="23.9090909090909" customWidth="1"/>
    <col min="3" max="3" width="30.6363636363636" customWidth="1"/>
    <col min="4" max="4" width="23.8181818181818" customWidth="1"/>
    <col min="5" max="8" width="10.8181818181818" customWidth="1"/>
    <col min="9" max="9" width="17.1727272727273" customWidth="1"/>
    <col min="10" max="10" width="4.27272727272727" customWidth="1"/>
  </cols>
  <sheetData>
    <row r="1" ht="20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E2" s="2"/>
      <c r="F2" s="2"/>
      <c r="G2" s="2"/>
      <c r="H2" s="2"/>
    </row>
    <row r="3" spans="1:9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9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>
      <c r="A5" s="5">
        <v>1</v>
      </c>
      <c r="B5" s="5" t="s">
        <v>11</v>
      </c>
      <c r="C5" s="5" t="s">
        <v>12</v>
      </c>
      <c r="D5" s="5" t="s">
        <v>13</v>
      </c>
      <c r="E5" s="6">
        <v>1</v>
      </c>
      <c r="F5" s="6">
        <v>100</v>
      </c>
      <c r="G5" s="5">
        <v>1</v>
      </c>
      <c r="H5" s="6">
        <f t="shared" ref="H5:H13" si="0">E5*F5*G5</f>
        <v>100</v>
      </c>
      <c r="I5" s="7"/>
    </row>
    <row r="6" spans="1:9">
      <c r="A6" s="5">
        <v>2</v>
      </c>
      <c r="B6" s="5" t="s">
        <v>14</v>
      </c>
      <c r="C6" s="5" t="s">
        <v>15</v>
      </c>
      <c r="D6" s="5" t="s">
        <v>16</v>
      </c>
      <c r="E6" s="6">
        <v>1</v>
      </c>
      <c r="F6" s="6">
        <v>100</v>
      </c>
      <c r="G6" s="5">
        <v>1</v>
      </c>
      <c r="H6" s="6">
        <f t="shared" si="0"/>
        <v>100</v>
      </c>
      <c r="I6" s="8"/>
    </row>
    <row r="7" spans="1:9">
      <c r="A7" s="5">
        <v>3</v>
      </c>
      <c r="B7" s="5" t="s">
        <v>17</v>
      </c>
      <c r="C7" s="5" t="s">
        <v>17</v>
      </c>
      <c r="D7" s="5" t="s">
        <v>18</v>
      </c>
      <c r="E7" s="6">
        <v>2</v>
      </c>
      <c r="F7" s="6">
        <v>5</v>
      </c>
      <c r="G7" s="5">
        <v>1</v>
      </c>
      <c r="H7" s="6">
        <f t="shared" si="0"/>
        <v>10</v>
      </c>
      <c r="I7" s="8"/>
    </row>
    <row r="8" spans="1:9">
      <c r="A8" s="5">
        <v>4</v>
      </c>
      <c r="B8" s="5" t="s">
        <v>19</v>
      </c>
      <c r="C8" s="5" t="s">
        <v>19</v>
      </c>
      <c r="D8" s="5" t="s">
        <v>20</v>
      </c>
      <c r="E8" s="6">
        <v>1</v>
      </c>
      <c r="F8" s="6">
        <v>500</v>
      </c>
      <c r="G8" s="5">
        <v>2</v>
      </c>
      <c r="H8" s="6">
        <f t="shared" si="0"/>
        <v>1000</v>
      </c>
      <c r="I8" s="8"/>
    </row>
    <row r="9" spans="1:9">
      <c r="A9" s="5">
        <v>5</v>
      </c>
      <c r="B9" s="5" t="s">
        <v>21</v>
      </c>
      <c r="C9" s="5" t="s">
        <v>21</v>
      </c>
      <c r="D9" s="5" t="s">
        <v>22</v>
      </c>
      <c r="E9" s="6">
        <v>1</v>
      </c>
      <c r="F9" s="6">
        <v>300</v>
      </c>
      <c r="G9" s="5">
        <v>2</v>
      </c>
      <c r="H9" s="6">
        <f t="shared" si="0"/>
        <v>600</v>
      </c>
      <c r="I9" s="8"/>
    </row>
    <row r="10" spans="1:9">
      <c r="A10" s="5">
        <v>6</v>
      </c>
      <c r="B10" s="5" t="s">
        <v>23</v>
      </c>
      <c r="C10" s="5" t="s">
        <v>24</v>
      </c>
      <c r="D10" s="5" t="s">
        <v>22</v>
      </c>
      <c r="E10" s="6">
        <v>3</v>
      </c>
      <c r="F10" s="6">
        <v>300</v>
      </c>
      <c r="G10" s="5">
        <v>1</v>
      </c>
      <c r="H10" s="6">
        <f t="shared" si="0"/>
        <v>900</v>
      </c>
      <c r="I10" s="8"/>
    </row>
    <row r="11" spans="1:9">
      <c r="A11" s="5">
        <v>7</v>
      </c>
      <c r="B11" s="5" t="s">
        <v>25</v>
      </c>
      <c r="C11" s="5" t="s">
        <v>26</v>
      </c>
      <c r="D11" s="5" t="s">
        <v>27</v>
      </c>
      <c r="E11" s="6">
        <v>20</v>
      </c>
      <c r="F11" s="6">
        <v>50</v>
      </c>
      <c r="G11" s="5">
        <v>1</v>
      </c>
      <c r="H11" s="6">
        <f t="shared" si="0"/>
        <v>1000</v>
      </c>
      <c r="I11" s="8"/>
    </row>
    <row r="12" spans="1:9">
      <c r="A12" s="5">
        <v>8</v>
      </c>
      <c r="B12" s="5" t="s">
        <v>28</v>
      </c>
      <c r="C12" s="5" t="s">
        <v>29</v>
      </c>
      <c r="D12" s="5" t="s">
        <v>22</v>
      </c>
      <c r="E12" s="6">
        <v>1</v>
      </c>
      <c r="F12" s="6">
        <v>500</v>
      </c>
      <c r="G12" s="5">
        <v>1</v>
      </c>
      <c r="H12" s="6">
        <f t="shared" si="0"/>
        <v>500</v>
      </c>
      <c r="I12" s="8"/>
    </row>
    <row r="13" spans="1:9">
      <c r="A13" s="3" t="s">
        <v>30</v>
      </c>
      <c r="B13" s="3"/>
      <c r="C13" s="3"/>
      <c r="D13" s="3"/>
      <c r="E13" s="3"/>
      <c r="F13" s="3"/>
      <c r="G13" s="3"/>
      <c r="H13" s="3"/>
      <c r="I13" s="3"/>
    </row>
    <row r="14" spans="1:9">
      <c r="A14" s="5">
        <v>1</v>
      </c>
      <c r="B14" s="5" t="s">
        <v>31</v>
      </c>
      <c r="C14" s="5" t="s">
        <v>32</v>
      </c>
      <c r="D14" s="5" t="s">
        <v>33</v>
      </c>
      <c r="E14" s="5">
        <v>1</v>
      </c>
      <c r="F14" s="5">
        <v>300</v>
      </c>
      <c r="G14" s="5">
        <v>1</v>
      </c>
      <c r="H14" s="6">
        <f>E14*F14*G14</f>
        <v>300</v>
      </c>
      <c r="I14" s="5"/>
    </row>
    <row r="15" spans="1:9">
      <c r="A15" s="5">
        <v>2</v>
      </c>
      <c r="B15" s="5" t="s">
        <v>31</v>
      </c>
      <c r="C15" s="5" t="s">
        <v>34</v>
      </c>
      <c r="D15" s="5" t="s">
        <v>33</v>
      </c>
      <c r="E15" s="5">
        <v>3</v>
      </c>
      <c r="F15" s="5">
        <v>100</v>
      </c>
      <c r="G15" s="5">
        <v>1</v>
      </c>
      <c r="H15" s="6">
        <f>E15*F15*G15</f>
        <v>300</v>
      </c>
      <c r="I15" s="5"/>
    </row>
    <row r="16" spans="1:9">
      <c r="A16" s="5">
        <v>3</v>
      </c>
      <c r="B16" s="5" t="s">
        <v>31</v>
      </c>
      <c r="C16" s="5" t="s">
        <v>35</v>
      </c>
      <c r="D16" s="5" t="s">
        <v>33</v>
      </c>
      <c r="E16" s="5">
        <v>3</v>
      </c>
      <c r="F16" s="5">
        <v>20</v>
      </c>
      <c r="G16" s="5">
        <v>1</v>
      </c>
      <c r="H16" s="6">
        <f>E16*F16*G16</f>
        <v>60</v>
      </c>
      <c r="I16" s="5"/>
    </row>
    <row r="17" spans="1:9">
      <c r="A17" s="5">
        <v>4</v>
      </c>
      <c r="B17" s="5" t="s">
        <v>31</v>
      </c>
      <c r="C17" s="5" t="s">
        <v>17</v>
      </c>
      <c r="D17" s="5" t="s">
        <v>33</v>
      </c>
      <c r="E17" s="5">
        <v>10</v>
      </c>
      <c r="F17" s="5">
        <v>5</v>
      </c>
      <c r="G17" s="5">
        <v>1</v>
      </c>
      <c r="H17" s="6">
        <f>E17*F17*G17</f>
        <v>50</v>
      </c>
      <c r="I17" s="5"/>
    </row>
    <row r="18" spans="1:9">
      <c r="A18" s="5">
        <v>5</v>
      </c>
      <c r="B18" s="5" t="s">
        <v>36</v>
      </c>
      <c r="C18" s="5" t="s">
        <v>37</v>
      </c>
      <c r="D18" s="5" t="s">
        <v>33</v>
      </c>
      <c r="E18" s="5">
        <v>20</v>
      </c>
      <c r="F18" s="5">
        <v>20</v>
      </c>
      <c r="G18" s="5">
        <v>1</v>
      </c>
      <c r="H18" s="6">
        <f>E18*F18*G18</f>
        <v>400</v>
      </c>
      <c r="I18" s="5"/>
    </row>
    <row r="19" spans="1:9">
      <c r="A19" s="3" t="s">
        <v>38</v>
      </c>
      <c r="B19" s="3"/>
      <c r="C19" s="3"/>
      <c r="D19" s="3"/>
      <c r="E19" s="3"/>
      <c r="F19" s="3"/>
      <c r="G19" s="9"/>
      <c r="H19" s="3"/>
      <c r="I19" s="3"/>
    </row>
    <row r="20" spans="1:9">
      <c r="A20" s="5" t="s">
        <v>39</v>
      </c>
      <c r="B20" s="6">
        <f>SUM(H5:H12)</f>
        <v>4210</v>
      </c>
      <c r="C20" s="9"/>
      <c r="D20" s="9"/>
      <c r="E20" s="9"/>
      <c r="F20" s="9"/>
      <c r="G20" s="9"/>
      <c r="H20" s="9"/>
      <c r="I20" s="9"/>
    </row>
    <row r="21" spans="1:9">
      <c r="A21" s="5" t="s">
        <v>40</v>
      </c>
      <c r="B21" s="6">
        <f>SUM(H14:H18)</f>
        <v>1110</v>
      </c>
      <c r="C21" s="9"/>
      <c r="D21" s="9"/>
      <c r="E21" s="9"/>
      <c r="F21" s="9"/>
      <c r="G21" s="9"/>
      <c r="H21" s="9"/>
      <c r="I21" s="9"/>
    </row>
    <row r="22" spans="1:9">
      <c r="A22" s="5" t="s">
        <v>41</v>
      </c>
      <c r="B22" s="6">
        <f>(B20+B21)*1%</f>
        <v>53.2</v>
      </c>
      <c r="C22" s="9"/>
      <c r="D22" s="9"/>
      <c r="E22" s="9"/>
      <c r="F22" s="9"/>
      <c r="G22" s="9"/>
      <c r="H22" s="9"/>
      <c r="I22" s="9"/>
    </row>
    <row r="23" spans="1:9">
      <c r="A23" s="4" t="s">
        <v>42</v>
      </c>
      <c r="B23" s="10">
        <f>B20+B21+B22</f>
        <v>5373.2</v>
      </c>
      <c r="C23" s="9"/>
      <c r="D23" s="9"/>
      <c r="E23" s="9"/>
      <c r="F23" s="9"/>
      <c r="G23" s="9"/>
      <c r="H23" s="9"/>
      <c r="I23" s="9"/>
    </row>
    <row r="24" spans="1:9">
      <c r="A24" s="5" t="s">
        <v>43</v>
      </c>
      <c r="B24" s="11">
        <f ca="1">TODAY()</f>
        <v>46087</v>
      </c>
      <c r="C24" s="9"/>
      <c r="D24" s="9"/>
      <c r="E24" s="9"/>
      <c r="F24" s="9"/>
      <c r="G24" s="9"/>
      <c r="H24" s="9"/>
      <c r="I24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NOH-AL00</dc:creator>
  <cp:lastModifiedBy>wps</cp:lastModifiedBy>
  <dcterms:created xsi:type="dcterms:W3CDTF">2018-06-05T00:28:00Z</dcterms:created>
  <dcterms:modified xsi:type="dcterms:W3CDTF">2026-03-06T06:02:30Z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2052-12.1.0.25225</vt:lpwstr>
  </property>
  <property fmtid="{D5CDD505-2E9C-101B-9397-08002B2CF9AE}" pid="4" name="ICV">
    <vt:lpwstr>22EB24A75A3B4BA18DB3594DB5457871_13</vt:lpwstr>
  </property>
</Properties>
</file>